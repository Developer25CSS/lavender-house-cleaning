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Job Pricing" sheetId="2" state="visible" r:id="rId4"/>
    <sheet name="Add-Ons" sheetId="3" state="visible" r:id="rId5"/>
    <sheet name="Cleaner Pay" sheetId="4" state="visible" r:id="rId6"/>
    <sheet name="Business Outloo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<sst xmlns="http://schemas.openxmlformats.org/spreadsheetml/2006/main" count="138" uniqueCount="107">
  <si>
    <t xml:space="preserve">Lavender House Cleaning — Pricing Model</t>
  </si>
  <si>
    <t xml:space="preserve">Edit the YELLOW cells only. Every price and margin on the other tabs recalculates automatically.</t>
  </si>
  <si>
    <t xml:space="preserve">Blue text = input you can change   |   Black text = calculated formula</t>
  </si>
  <si>
    <t xml:space="preserve">LABOR</t>
  </si>
  <si>
    <t xml:space="preserve">Cleaner hourly wage</t>
  </si>
  <si>
    <t xml:space="preserve">Employer FICA (Social Security + Medicare)</t>
  </si>
  <si>
    <t xml:space="preserve">Workers' comp insurance (cleaning trade)</t>
  </si>
  <si>
    <t xml:space="preserve">Federal + state unemployment (FUTA/SUTA)</t>
  </si>
  <si>
    <t xml:space="preserve">Paid non-billable hrs per job (drive, setup, restock)</t>
  </si>
  <si>
    <t xml:space="preserve">PRICING</t>
  </si>
  <si>
    <t xml:space="preserve">Target revenue per billable cleaner-hour</t>
  </si>
  <si>
    <t xml:space="preserve">COST PER JOB</t>
  </si>
  <si>
    <t xml:space="preserve">Cleaning supplies &amp; products</t>
  </si>
  <si>
    <t xml:space="preserve">Vehicle &amp; mileage</t>
  </si>
  <si>
    <t xml:space="preserve">Liability insurance &amp; bonding (allocated)</t>
  </si>
  <si>
    <t xml:space="preserve">Phone, software, marketing (allocated)</t>
  </si>
  <si>
    <t xml:space="preserve">Card processing — percent</t>
  </si>
  <si>
    <t xml:space="preserve">Card processing — flat per transaction</t>
  </si>
  <si>
    <t xml:space="preserve">CALCULATED</t>
  </si>
  <si>
    <t xml:space="preserve">Total payroll burden %</t>
  </si>
  <si>
    <t xml:space="preserve">Fully loaded labor cost per hour</t>
  </si>
  <si>
    <t xml:space="preserve">Fixed cost per job (before card fees)</t>
  </si>
  <si>
    <t xml:space="preserve">ASSUMPTION NOTES</t>
  </si>
  <si>
    <t xml:space="preserve">Wage of $27.00/hr set by owner (ORKD) — this model is built backwards from that number.</t>
  </si>
  <si>
    <t xml:space="preserve">FICA 7.65% is the statutory employer share. Workers' comp ~4% and FUTA/SUTA ~2% are typical</t>
  </si>
  <si>
    <t xml:space="preserve">   ranges for janitorial/cleaning payroll in Colorado — confirm with your payroll provider.</t>
  </si>
  <si>
    <t xml:space="preserve">Paid non-billable time (0.40 hr/job) covers drive time between jobs, setup and restocking.</t>
  </si>
  <si>
    <t xml:space="preserve">   Paying this is what makes the job feel stable rather than gig work.</t>
  </si>
  <si>
    <t xml:space="preserve">Per-job overhead figures are planning estimates — replace with your real costs once you</t>
  </si>
  <si>
    <t xml:space="preserve">   have three months of actuals.</t>
  </si>
  <si>
    <t xml:space="preserve">Card processing 2.9% + $0.30 is Stripe's standard published US rate.</t>
  </si>
  <si>
    <t xml:space="preserve">This model assumes W-2 employees. 1099 contractors remove the ~13.7% burden but</t>
  </si>
  <si>
    <t xml:space="preserve">   misclassification is heavily enforced in cleaning — talk to an accountant first.</t>
  </si>
  <si>
    <t xml:space="preserve">Job-by-Job Economics</t>
  </si>
  <si>
    <t xml:space="preserve">Menu Price is the only blue input here — change it and margin updates. Hours are your time estimates.</t>
  </si>
  <si>
    <t xml:space="preserve">Service</t>
  </si>
  <si>
    <t xml:space="preserve">Home Size</t>
  </si>
  <si>
    <t xml:space="preserve">Billable Hrs</t>
  </si>
  <si>
    <t xml:space="preserve">Menu Price</t>
  </si>
  <si>
    <t xml:space="preserve">Cleaner Take-Home</t>
  </si>
  <si>
    <t xml:space="preserve">Loaded Labor Cost</t>
  </si>
  <si>
    <t xml:space="preserve">Supplies &amp; Overhead</t>
  </si>
  <si>
    <t xml:space="preserve">Card Fee</t>
  </si>
  <si>
    <t xml:space="preserve">Total Cost</t>
  </si>
  <si>
    <t xml:space="preserve">Gross Profit</t>
  </si>
  <si>
    <t xml:space="preserve">Margin %</t>
  </si>
  <si>
    <t xml:space="preserve">Revenue / Hr</t>
  </si>
  <si>
    <t xml:space="preserve">Basic Cleaning</t>
  </si>
  <si>
    <t xml:space="preserve">Studio / 1 Bed</t>
  </si>
  <si>
    <t xml:space="preserve">2 Bed</t>
  </si>
  <si>
    <t xml:space="preserve">3 Bed</t>
  </si>
  <si>
    <t xml:space="preserve">4 Bed</t>
  </si>
  <si>
    <t xml:space="preserve">Detailed Standard</t>
  </si>
  <si>
    <t xml:space="preserve">Deep Cleaning</t>
  </si>
  <si>
    <t xml:space="preserve">Move In / Move Out</t>
  </si>
  <si>
    <t xml:space="preserve">AirBnB Turnover</t>
  </si>
  <si>
    <t xml:space="preserve">3 Bed+</t>
  </si>
  <si>
    <t xml:space="preserve">TOTALS / AVERAGE</t>
  </si>
  <si>
    <t xml:space="preserve">Every row must stay profitable. If Margin % drops below ~15%, raise the Menu Price or trim the hours.</t>
  </si>
  <si>
    <t xml:space="preserve">Cleaner Take-Home is gross pay to the cleaner (wage x billable + paid drive time), before their own taxes.</t>
  </si>
  <si>
    <t xml:space="preserve">Add-On Pricing</t>
  </si>
  <si>
    <t xml:space="preserve">Add-ons ride on an existing job, so there is no extra drive time, vehicle or overhead cost — only labor.</t>
  </si>
  <si>
    <t xml:space="preserve">Add-On Service</t>
  </si>
  <si>
    <t xml:space="preserve">Hours</t>
  </si>
  <si>
    <t xml:space="preserve">Price</t>
  </si>
  <si>
    <t xml:space="preserve">Oven deep clean (inside)</t>
  </si>
  <si>
    <t xml:space="preserve">Bathroom deep scrub, per bathroom</t>
  </si>
  <si>
    <t xml:space="preserve">Inside refrigerator</t>
  </si>
  <si>
    <t xml:space="preserve">Inside cabinets</t>
  </si>
  <si>
    <t xml:space="preserve">Interior windows</t>
  </si>
  <si>
    <t xml:space="preserve">Laundry, per load (wash/dry/fold)</t>
  </si>
  <si>
    <t xml:space="preserve">Garage or patio sweep</t>
  </si>
  <si>
    <t xml:space="preserve">Dishes washed</t>
  </si>
  <si>
    <t xml:space="preserve">Organization, per hour</t>
  </si>
  <si>
    <t xml:space="preserve">Add-ons carry the best margin in the business — always offer them at booking.</t>
  </si>
  <si>
    <t xml:space="preserve">What a Cleaner Actually Earns</t>
  </si>
  <si>
    <t xml:space="preserve">Use this when recruiting — real numbers beat vague promises.</t>
  </si>
  <si>
    <t xml:space="preserve">Billable hours guaranteed per week</t>
  </si>
  <si>
    <t xml:space="preserve">Paid non-billable hours per week (drive/setup)</t>
  </si>
  <si>
    <t xml:space="preserve">Total paid hours per week</t>
  </si>
  <si>
    <t xml:space="preserve">Gross pay per week</t>
  </si>
  <si>
    <t xml:space="preserve">Gross pay per month</t>
  </si>
  <si>
    <t xml:space="preserve">Gross pay per year</t>
  </si>
  <si>
    <t xml:space="preserve">Employer cost per year (wage + burden)</t>
  </si>
  <si>
    <t xml:space="preserve">STABILITY COMMITMENTS TO ADVERTISE</t>
  </si>
  <si>
    <t xml:space="preserve">•  $27/hour — well above the Pueblo market rate for cleaners</t>
  </si>
  <si>
    <t xml:space="preserve">•  Guaranteed minimum weekly hours, so income is predictable</t>
  </si>
  <si>
    <t xml:space="preserve">•  Paid drive time between jobs — cleaners are not working for free between houses</t>
  </si>
  <si>
    <t xml:space="preserve">•  Weekly pay, every Friday</t>
  </si>
  <si>
    <t xml:space="preserve">•  All supplies and equipment provided — no out-of-pocket costs</t>
  </si>
  <si>
    <t xml:space="preserve">•  Same-day cancellations by a client are still paid (protects the cleaner, not just the business)</t>
  </si>
  <si>
    <t xml:space="preserve">•  Consider adding after 90 days: paid time off, mileage reimbursement, a health stipend</t>
  </si>
  <si>
    <t xml:space="preserve">Note: these are business planning figures, not legal or tax advice. Confirm wage, classification and</t>
  </si>
  <si>
    <t xml:space="preserve">insurance requirements with a Colorado accountant or employment attorney before hiring.</t>
  </si>
  <si>
    <t xml:space="preserve">Business Outlook</t>
  </si>
  <si>
    <t xml:space="preserve">Rough projection at full schedules. Change the cleaner count and hours to model growth.</t>
  </si>
  <si>
    <t xml:space="preserve">Number of cleaners on staff</t>
  </si>
  <si>
    <t xml:space="preserve">Billable hours per cleaner per week</t>
  </si>
  <si>
    <t xml:space="preserve">Average revenue per billable hour</t>
  </si>
  <si>
    <t xml:space="preserve">Average gross margin</t>
  </si>
  <si>
    <t xml:space="preserve">Weekly revenue</t>
  </si>
  <si>
    <t xml:space="preserve">Weekly gross profit</t>
  </si>
  <si>
    <t xml:space="preserve">Annual revenue</t>
  </si>
  <si>
    <t xml:space="preserve">Annual gross profit (before owner pay &amp; fixed costs)</t>
  </si>
  <si>
    <t xml:space="preserve">Gross profit still has to cover: your own salary, office/storage, accounting, licensing,</t>
  </si>
  <si>
    <t xml:space="preserve">advertising beyond the allocated per-job amount, equipment replacement, and taxes.</t>
  </si>
  <si>
    <t xml:space="preserve">Treat annual gross profit as the ceiling on owner income, not the take-home.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</si>
</sst>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0.00"/>
    <numFmt numFmtId="168" formatCode="\$#,##0;&quot;($&quot;#,##0\);\-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F3168"/>
      <name val="Arial"/>
      <family val="0"/>
      <charset val="1"/>
    </font>
    <font>
      <i val="true"/>
      <sz val="9"/>
      <color rgb="FF5C56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8448F"/>
        <bgColor rgb="FF5C5670"/>
      </patternFill>
    </fill>
    <fill>
      <patternFill patternType="solid">
        <fgColor rgb="FFFFFF00"/>
        <bgColor rgb="FFFFFF00"/>
      </patternFill>
    </fill>
    <fill>
      <patternFill patternType="solid">
        <fgColor rgb="FFF7F5FD"/>
        <bgColor rgb="FFFFFFFF"/>
      </patternFill>
    </fill>
    <fill>
      <patternFill patternType="solid">
        <fgColor rgb="FFFDF5E4"/>
        <bgColor rgb="FFF7F5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5E4"/>
      <rgbColor rgb="FFF7F5FD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670"/>
      <rgbColor rgb="FF969696"/>
      <rgbColor rgb="FF003366"/>
      <rgbColor rgb="FF339966"/>
      <rgbColor rgb="FF003300"/>
      <rgbColor rgb="FF333300"/>
      <rgbColor rgb="FF993300"/>
      <rgbColor rgb="FF993366"/>
      <rgbColor rgb="FF3F3168"/>
      <rgbColor rgb="FF58448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5" t="s">
        <v>4</v>
      </c>
      <c r="B6" s="6" t="n">
        <v>27</v>
      </c>
    </row>
    <row r="7" customFormat="false" ht="15" hidden="false" customHeight="false" outlineLevel="0" collapsed="false">
      <c r="A7" s="5" t="s">
        <v>5</v>
      </c>
      <c r="B7" s="7" t="n">
        <v>0.0765</v>
      </c>
    </row>
    <row r="8" customFormat="false" ht="15" hidden="false" customHeight="false" outlineLevel="0" collapsed="false">
      <c r="A8" s="5" t="s">
        <v>6</v>
      </c>
      <c r="B8" s="7" t="n">
        <v>0.04</v>
      </c>
    </row>
    <row r="9" customFormat="false" ht="15" hidden="false" customHeight="false" outlineLevel="0" collapsed="false">
      <c r="A9" s="5" t="s">
        <v>7</v>
      </c>
      <c r="B9" s="7" t="n">
        <v>0.02</v>
      </c>
    </row>
    <row r="10" customFormat="false" ht="15" hidden="false" customHeight="false" outlineLevel="0" collapsed="false">
      <c r="A10" s="5" t="s">
        <v>8</v>
      </c>
      <c r="B10" s="8" t="n">
        <v>0.4</v>
      </c>
    </row>
    <row r="11" customFormat="false" ht="15" hidden="false" customHeight="false" outlineLevel="0" collapsed="false">
      <c r="A11" s="3" t="s">
        <v>9</v>
      </c>
      <c r="B11" s="4"/>
    </row>
    <row r="12" customFormat="false" ht="15" hidden="false" customHeight="false" outlineLevel="0" collapsed="false">
      <c r="A12" s="5" t="s">
        <v>10</v>
      </c>
      <c r="B12" s="6" t="n">
        <v>65</v>
      </c>
    </row>
    <row r="13" customFormat="false" ht="15" hidden="false" customHeight="false" outlineLevel="0" collapsed="false">
      <c r="A13" s="3" t="s">
        <v>11</v>
      </c>
      <c r="B13" s="4"/>
    </row>
    <row r="14" customFormat="false" ht="15" hidden="false" customHeight="false" outlineLevel="0" collapsed="false">
      <c r="A14" s="5" t="s">
        <v>12</v>
      </c>
      <c r="B14" s="6" t="n">
        <v>6</v>
      </c>
    </row>
    <row r="15" customFormat="false" ht="15" hidden="false" customHeight="false" outlineLevel="0" collapsed="false">
      <c r="A15" s="5" t="s">
        <v>13</v>
      </c>
      <c r="B15" s="6" t="n">
        <v>8</v>
      </c>
    </row>
    <row r="16" customFormat="false" ht="15" hidden="false" customHeight="false" outlineLevel="0" collapsed="false">
      <c r="A16" s="5" t="s">
        <v>14</v>
      </c>
      <c r="B16" s="6" t="n">
        <v>4</v>
      </c>
    </row>
    <row r="17" customFormat="false" ht="15" hidden="false" customHeight="false" outlineLevel="0" collapsed="false">
      <c r="A17" s="5" t="s">
        <v>15</v>
      </c>
      <c r="B17" s="6" t="n">
        <v>10</v>
      </c>
    </row>
    <row r="18" customFormat="false" ht="15" hidden="false" customHeight="false" outlineLevel="0" collapsed="false">
      <c r="A18" s="5" t="s">
        <v>16</v>
      </c>
      <c r="B18" s="7" t="n">
        <v>0.029</v>
      </c>
    </row>
    <row r="19" customFormat="false" ht="15" hidden="false" customHeight="false" outlineLevel="0" collapsed="false">
      <c r="A19" s="5" t="s">
        <v>17</v>
      </c>
      <c r="B19" s="6" t="n">
        <v>0.3</v>
      </c>
    </row>
    <row r="21" customFormat="false" ht="15" hidden="false" customHeight="false" outlineLevel="0" collapsed="false">
      <c r="A21" s="3" t="s">
        <v>18</v>
      </c>
      <c r="B21" s="4"/>
    </row>
    <row r="22" customFormat="false" ht="15" hidden="false" customHeight="false" outlineLevel="0" collapsed="false">
      <c r="A22" s="5" t="s">
        <v>19</v>
      </c>
      <c r="B22" s="9" t="n">
        <f aca="false">B7+B8+B9</f>
        <v>0.1365</v>
      </c>
    </row>
    <row r="23" customFormat="false" ht="15" hidden="false" customHeight="false" outlineLevel="0" collapsed="false">
      <c r="A23" s="10" t="s">
        <v>20</v>
      </c>
      <c r="B23" s="11" t="n">
        <f aca="false">B6*(1+B22)</f>
        <v>30.6855</v>
      </c>
    </row>
    <row r="24" customFormat="false" ht="15" hidden="false" customHeight="false" outlineLevel="0" collapsed="false">
      <c r="A24" s="5" t="s">
        <v>21</v>
      </c>
      <c r="B24" s="12" t="n">
        <f aca="false">B14+B15+B16+B17</f>
        <v>28</v>
      </c>
    </row>
    <row r="26" customFormat="false" ht="15" hidden="false" customHeight="false" outlineLevel="0" collapsed="false">
      <c r="A26" s="10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 t="s">
        <v>24</v>
      </c>
    </row>
    <row r="29" customFormat="false" ht="15" hidden="false" customHeight="false" outlineLevel="0" collapsed="false">
      <c r="A29" s="2" t="s">
        <v>25</v>
      </c>
    </row>
    <row r="30" customFormat="false" ht="15" hidden="false" customHeight="false" outlineLevel="0" collapsed="false">
      <c r="A30" s="2" t="s">
        <v>26</v>
      </c>
    </row>
    <row r="31" customFormat="false" ht="15" hidden="false" customHeight="false" outlineLevel="0" collapsed="false">
      <c r="A31" s="2" t="s">
        <v>27</v>
      </c>
    </row>
    <row r="32" customFormat="false" ht="15" hidden="false" customHeight="false" outlineLevel="0" collapsed="false">
      <c r="A32" s="2" t="s">
        <v>28</v>
      </c>
    </row>
    <row r="33" customFormat="false" ht="15" hidden="false" customHeight="false" outlineLevel="0" collapsed="false">
      <c r="A33" s="2" t="s">
        <v>29</v>
      </c>
    </row>
    <row r="34" customFormat="false" ht="15" hidden="false" customHeight="false" outlineLevel="0" collapsed="false">
      <c r="A34" s="2" t="s">
        <v>30</v>
      </c>
    </row>
    <row r="35" customFormat="false" ht="15" hidden="false" customHeight="false" outlineLevel="0" collapsed="false">
      <c r="A35" s="2" t="s">
        <v>31</v>
      </c>
    </row>
    <row r="36" customFormat="false" ht="15" hidden="false" customHeight="false" outlineLevel="0" collapsed="false">
      <c r="A36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7" min="5" style="0" width="15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31.5" hidden="false" customHeight="tru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45</v>
      </c>
      <c r="L4" s="13" t="s">
        <v>46</v>
      </c>
    </row>
    <row r="5" customFormat="false" ht="15" hidden="false" customHeight="false" outlineLevel="0" collapsed="false">
      <c r="A5" s="14" t="s">
        <v>47</v>
      </c>
      <c r="B5" s="14" t="s">
        <v>48</v>
      </c>
      <c r="C5" s="8" t="n">
        <v>2</v>
      </c>
      <c r="D5" s="15" t="n">
        <v>130</v>
      </c>
      <c r="E5" s="16" t="n">
        <f aca="false">(C5+Assumptions!$B$10)*Assumptions!$B$6</f>
        <v>64.8</v>
      </c>
      <c r="F5" s="16" t="n">
        <f aca="false">(C5+Assumptions!$B$10)*Assumptions!$B$23</f>
        <v>73.6452</v>
      </c>
      <c r="G5" s="16" t="n">
        <f aca="false">Assumptions!$B$24</f>
        <v>28</v>
      </c>
      <c r="H5" s="16" t="n">
        <f aca="false">D5*Assumptions!$B$18+Assumptions!$B$19</f>
        <v>4.07</v>
      </c>
      <c r="I5" s="16" t="n">
        <f aca="false">F5+G5+H5</f>
        <v>105.7152</v>
      </c>
      <c r="J5" s="16" t="n">
        <f aca="false">D5-I5</f>
        <v>24.2848</v>
      </c>
      <c r="K5" s="17" t="n">
        <f aca="false">IFERROR(J5/D5,0)</f>
        <v>0.186806153846154</v>
      </c>
      <c r="L5" s="16" t="n">
        <f aca="false">IFERROR(D5/C5,0)</f>
        <v>65</v>
      </c>
    </row>
    <row r="6" customFormat="false" ht="15" hidden="false" customHeight="false" outlineLevel="0" collapsed="false">
      <c r="A6" s="18" t="s">
        <v>47</v>
      </c>
      <c r="B6" s="18" t="s">
        <v>49</v>
      </c>
      <c r="C6" s="8" t="n">
        <v>2.5</v>
      </c>
      <c r="D6" s="15" t="n">
        <v>160</v>
      </c>
      <c r="E6" s="12" t="n">
        <f aca="false">(C6+Assumptions!$B$10)*Assumptions!$B$6</f>
        <v>78.3</v>
      </c>
      <c r="F6" s="12" t="n">
        <f aca="false">(C6+Assumptions!$B$10)*Assumptions!$B$23</f>
        <v>88.98795</v>
      </c>
      <c r="G6" s="12" t="n">
        <f aca="false">Assumptions!$B$24</f>
        <v>28</v>
      </c>
      <c r="H6" s="12" t="n">
        <f aca="false">D6*Assumptions!$B$18+Assumptions!$B$19</f>
        <v>4.94</v>
      </c>
      <c r="I6" s="12" t="n">
        <f aca="false">F6+G6+H6</f>
        <v>121.92795</v>
      </c>
      <c r="J6" s="12" t="n">
        <f aca="false">D6-I6</f>
        <v>38.07205</v>
      </c>
      <c r="K6" s="9" t="n">
        <f aca="false">IFERROR(J6/D6,0)</f>
        <v>0.2379503125</v>
      </c>
      <c r="L6" s="12" t="n">
        <f aca="false">IFERROR(D6/C6,0)</f>
        <v>64</v>
      </c>
    </row>
    <row r="7" customFormat="false" ht="15" hidden="false" customHeight="false" outlineLevel="0" collapsed="false">
      <c r="A7" s="14" t="s">
        <v>47</v>
      </c>
      <c r="B7" s="14" t="s">
        <v>50</v>
      </c>
      <c r="C7" s="8" t="n">
        <v>3</v>
      </c>
      <c r="D7" s="15" t="n">
        <v>195</v>
      </c>
      <c r="E7" s="16" t="n">
        <f aca="false">(C7+Assumptions!$B$10)*Assumptions!$B$6</f>
        <v>91.8</v>
      </c>
      <c r="F7" s="16" t="n">
        <f aca="false">(C7+Assumptions!$B$10)*Assumptions!$B$23</f>
        <v>104.3307</v>
      </c>
      <c r="G7" s="16" t="n">
        <f aca="false">Assumptions!$B$24</f>
        <v>28</v>
      </c>
      <c r="H7" s="16" t="n">
        <f aca="false">D7*Assumptions!$B$18+Assumptions!$B$19</f>
        <v>5.955</v>
      </c>
      <c r="I7" s="16" t="n">
        <f aca="false">F7+G7+H7</f>
        <v>138.2857</v>
      </c>
      <c r="J7" s="16" t="n">
        <f aca="false">D7-I7</f>
        <v>56.7143</v>
      </c>
      <c r="K7" s="17" t="n">
        <f aca="false">IFERROR(J7/D7,0)</f>
        <v>0.290842564102564</v>
      </c>
      <c r="L7" s="16" t="n">
        <f aca="false">IFERROR(D7/C7,0)</f>
        <v>65</v>
      </c>
    </row>
    <row r="8" customFormat="false" ht="15" hidden="false" customHeight="false" outlineLevel="0" collapsed="false">
      <c r="A8" s="18" t="s">
        <v>47</v>
      </c>
      <c r="B8" s="18" t="s">
        <v>51</v>
      </c>
      <c r="C8" s="8" t="n">
        <v>3.75</v>
      </c>
      <c r="D8" s="15" t="n">
        <v>245</v>
      </c>
      <c r="E8" s="12" t="n">
        <f aca="false">(C8+Assumptions!$B$10)*Assumptions!$B$6</f>
        <v>112.05</v>
      </c>
      <c r="F8" s="12" t="n">
        <f aca="false">(C8+Assumptions!$B$10)*Assumptions!$B$23</f>
        <v>127.344825</v>
      </c>
      <c r="G8" s="12" t="n">
        <f aca="false">Assumptions!$B$24</f>
        <v>28</v>
      </c>
      <c r="H8" s="12" t="n">
        <f aca="false">D8*Assumptions!$B$18+Assumptions!$B$19</f>
        <v>7.405</v>
      </c>
      <c r="I8" s="12" t="n">
        <f aca="false">F8+G8+H8</f>
        <v>162.749825</v>
      </c>
      <c r="J8" s="12" t="n">
        <f aca="false">D8-I8</f>
        <v>82.250175</v>
      </c>
      <c r="K8" s="9" t="n">
        <f aca="false">IFERROR(J8/D8,0)</f>
        <v>0.335715</v>
      </c>
      <c r="L8" s="12" t="n">
        <f aca="false">IFERROR(D8/C8,0)</f>
        <v>65.3333333333333</v>
      </c>
    </row>
    <row r="9" customFormat="false" ht="15" hidden="false" customHeight="false" outlineLevel="0" collapsed="false">
      <c r="A9" s="14" t="s">
        <v>52</v>
      </c>
      <c r="B9" s="14" t="s">
        <v>48</v>
      </c>
      <c r="C9" s="8" t="n">
        <v>2.5</v>
      </c>
      <c r="D9" s="15" t="n">
        <v>160</v>
      </c>
      <c r="E9" s="16" t="n">
        <f aca="false">(C9+Assumptions!$B$10)*Assumptions!$B$6</f>
        <v>78.3</v>
      </c>
      <c r="F9" s="16" t="n">
        <f aca="false">(C9+Assumptions!$B$10)*Assumptions!$B$23</f>
        <v>88.98795</v>
      </c>
      <c r="G9" s="16" t="n">
        <f aca="false">Assumptions!$B$24</f>
        <v>28</v>
      </c>
      <c r="H9" s="16" t="n">
        <f aca="false">D9*Assumptions!$B$18+Assumptions!$B$19</f>
        <v>4.94</v>
      </c>
      <c r="I9" s="16" t="n">
        <f aca="false">F9+G9+H9</f>
        <v>121.92795</v>
      </c>
      <c r="J9" s="16" t="n">
        <f aca="false">D9-I9</f>
        <v>38.07205</v>
      </c>
      <c r="K9" s="17" t="n">
        <f aca="false">IFERROR(J9/D9,0)</f>
        <v>0.2379503125</v>
      </c>
      <c r="L9" s="16" t="n">
        <f aca="false">IFERROR(D9/C9,0)</f>
        <v>64</v>
      </c>
    </row>
    <row r="10" customFormat="false" ht="15" hidden="false" customHeight="false" outlineLevel="0" collapsed="false">
      <c r="A10" s="18" t="s">
        <v>52</v>
      </c>
      <c r="B10" s="18" t="s">
        <v>49</v>
      </c>
      <c r="C10" s="8" t="n">
        <v>3</v>
      </c>
      <c r="D10" s="15" t="n">
        <v>195</v>
      </c>
      <c r="E10" s="12" t="n">
        <f aca="false">(C10+Assumptions!$B$10)*Assumptions!$B$6</f>
        <v>91.8</v>
      </c>
      <c r="F10" s="12" t="n">
        <f aca="false">(C10+Assumptions!$B$10)*Assumptions!$B$23</f>
        <v>104.3307</v>
      </c>
      <c r="G10" s="12" t="n">
        <f aca="false">Assumptions!$B$24</f>
        <v>28</v>
      </c>
      <c r="H10" s="12" t="n">
        <f aca="false">D10*Assumptions!$B$18+Assumptions!$B$19</f>
        <v>5.955</v>
      </c>
      <c r="I10" s="12" t="n">
        <f aca="false">F10+G10+H10</f>
        <v>138.2857</v>
      </c>
      <c r="J10" s="12" t="n">
        <f aca="false">D10-I10</f>
        <v>56.7143</v>
      </c>
      <c r="K10" s="9" t="n">
        <f aca="false">IFERROR(J10/D10,0)</f>
        <v>0.290842564102564</v>
      </c>
      <c r="L10" s="12" t="n">
        <f aca="false">IFERROR(D10/C10,0)</f>
        <v>65</v>
      </c>
    </row>
    <row r="11" customFormat="false" ht="15" hidden="false" customHeight="false" outlineLevel="0" collapsed="false">
      <c r="A11" s="14" t="s">
        <v>52</v>
      </c>
      <c r="B11" s="14" t="s">
        <v>50</v>
      </c>
      <c r="C11" s="8" t="n">
        <v>3.75</v>
      </c>
      <c r="D11" s="15" t="n">
        <v>245</v>
      </c>
      <c r="E11" s="16" t="n">
        <f aca="false">(C11+Assumptions!$B$10)*Assumptions!$B$6</f>
        <v>112.05</v>
      </c>
      <c r="F11" s="16" t="n">
        <f aca="false">(C11+Assumptions!$B$10)*Assumptions!$B$23</f>
        <v>127.344825</v>
      </c>
      <c r="G11" s="16" t="n">
        <f aca="false">Assumptions!$B$24</f>
        <v>28</v>
      </c>
      <c r="H11" s="16" t="n">
        <f aca="false">D11*Assumptions!$B$18+Assumptions!$B$19</f>
        <v>7.405</v>
      </c>
      <c r="I11" s="16" t="n">
        <f aca="false">F11+G11+H11</f>
        <v>162.749825</v>
      </c>
      <c r="J11" s="16" t="n">
        <f aca="false">D11-I11</f>
        <v>82.250175</v>
      </c>
      <c r="K11" s="17" t="n">
        <f aca="false">IFERROR(J11/D11,0)</f>
        <v>0.335715</v>
      </c>
      <c r="L11" s="16" t="n">
        <f aca="false">IFERROR(D11/C11,0)</f>
        <v>65.3333333333333</v>
      </c>
    </row>
    <row r="12" customFormat="false" ht="15" hidden="false" customHeight="false" outlineLevel="0" collapsed="false">
      <c r="A12" s="18" t="s">
        <v>52</v>
      </c>
      <c r="B12" s="18" t="s">
        <v>51</v>
      </c>
      <c r="C12" s="8" t="n">
        <v>4.5</v>
      </c>
      <c r="D12" s="15" t="n">
        <v>290</v>
      </c>
      <c r="E12" s="12" t="n">
        <f aca="false">(C12+Assumptions!$B$10)*Assumptions!$B$6</f>
        <v>132.3</v>
      </c>
      <c r="F12" s="12" t="n">
        <f aca="false">(C12+Assumptions!$B$10)*Assumptions!$B$23</f>
        <v>150.35895</v>
      </c>
      <c r="G12" s="12" t="n">
        <f aca="false">Assumptions!$B$24</f>
        <v>28</v>
      </c>
      <c r="H12" s="12" t="n">
        <f aca="false">D12*Assumptions!$B$18+Assumptions!$B$19</f>
        <v>8.71</v>
      </c>
      <c r="I12" s="12" t="n">
        <f aca="false">F12+G12+H12</f>
        <v>187.06895</v>
      </c>
      <c r="J12" s="12" t="n">
        <f aca="false">D12-I12</f>
        <v>102.93105</v>
      </c>
      <c r="K12" s="9" t="n">
        <f aca="false">IFERROR(J12/D12,0)</f>
        <v>0.354934655172414</v>
      </c>
      <c r="L12" s="12" t="n">
        <f aca="false">IFERROR(D12/C12,0)</f>
        <v>64.4444444444444</v>
      </c>
    </row>
    <row r="13" customFormat="false" ht="15" hidden="false" customHeight="false" outlineLevel="0" collapsed="false">
      <c r="A13" s="14" t="s">
        <v>53</v>
      </c>
      <c r="B13" s="14" t="s">
        <v>48</v>
      </c>
      <c r="C13" s="8" t="n">
        <v>3.5</v>
      </c>
      <c r="D13" s="15" t="n">
        <v>230</v>
      </c>
      <c r="E13" s="16" t="n">
        <f aca="false">(C13+Assumptions!$B$10)*Assumptions!$B$6</f>
        <v>105.3</v>
      </c>
      <c r="F13" s="16" t="n">
        <f aca="false">(C13+Assumptions!$B$10)*Assumptions!$B$23</f>
        <v>119.67345</v>
      </c>
      <c r="G13" s="16" t="n">
        <f aca="false">Assumptions!$B$24</f>
        <v>28</v>
      </c>
      <c r="H13" s="16" t="n">
        <f aca="false">D13*Assumptions!$B$18+Assumptions!$B$19</f>
        <v>6.97</v>
      </c>
      <c r="I13" s="16" t="n">
        <f aca="false">F13+G13+H13</f>
        <v>154.64345</v>
      </c>
      <c r="J13" s="16" t="n">
        <f aca="false">D13-I13</f>
        <v>75.35655</v>
      </c>
      <c r="K13" s="17" t="n">
        <f aca="false">IFERROR(J13/D13,0)</f>
        <v>0.327637173913044</v>
      </c>
      <c r="L13" s="16" t="n">
        <f aca="false">IFERROR(D13/C13,0)</f>
        <v>65.7142857142857</v>
      </c>
    </row>
    <row r="14" customFormat="false" ht="15" hidden="false" customHeight="false" outlineLevel="0" collapsed="false">
      <c r="A14" s="18" t="s">
        <v>53</v>
      </c>
      <c r="B14" s="18" t="s">
        <v>49</v>
      </c>
      <c r="C14" s="8" t="n">
        <v>4.5</v>
      </c>
      <c r="D14" s="15" t="n">
        <v>290</v>
      </c>
      <c r="E14" s="12" t="n">
        <f aca="false">(C14+Assumptions!$B$10)*Assumptions!$B$6</f>
        <v>132.3</v>
      </c>
      <c r="F14" s="12" t="n">
        <f aca="false">(C14+Assumptions!$B$10)*Assumptions!$B$23</f>
        <v>150.35895</v>
      </c>
      <c r="G14" s="12" t="n">
        <f aca="false">Assumptions!$B$24</f>
        <v>28</v>
      </c>
      <c r="H14" s="12" t="n">
        <f aca="false">D14*Assumptions!$B$18+Assumptions!$B$19</f>
        <v>8.71</v>
      </c>
      <c r="I14" s="12" t="n">
        <f aca="false">F14+G14+H14</f>
        <v>187.06895</v>
      </c>
      <c r="J14" s="12" t="n">
        <f aca="false">D14-I14</f>
        <v>102.93105</v>
      </c>
      <c r="K14" s="9" t="n">
        <f aca="false">IFERROR(J14/D14,0)</f>
        <v>0.354934655172414</v>
      </c>
      <c r="L14" s="12" t="n">
        <f aca="false">IFERROR(D14/C14,0)</f>
        <v>64.4444444444444</v>
      </c>
    </row>
    <row r="15" customFormat="false" ht="15" hidden="false" customHeight="false" outlineLevel="0" collapsed="false">
      <c r="A15" s="14" t="s">
        <v>53</v>
      </c>
      <c r="B15" s="14" t="s">
        <v>50</v>
      </c>
      <c r="C15" s="8" t="n">
        <v>5.5</v>
      </c>
      <c r="D15" s="15" t="n">
        <v>360</v>
      </c>
      <c r="E15" s="16" t="n">
        <f aca="false">(C15+Assumptions!$B$10)*Assumptions!$B$6</f>
        <v>159.3</v>
      </c>
      <c r="F15" s="16" t="n">
        <f aca="false">(C15+Assumptions!$B$10)*Assumptions!$B$23</f>
        <v>181.04445</v>
      </c>
      <c r="G15" s="16" t="n">
        <f aca="false">Assumptions!$B$24</f>
        <v>28</v>
      </c>
      <c r="H15" s="16" t="n">
        <f aca="false">D15*Assumptions!$B$18+Assumptions!$B$19</f>
        <v>10.74</v>
      </c>
      <c r="I15" s="16" t="n">
        <f aca="false">F15+G15+H15</f>
        <v>219.78445</v>
      </c>
      <c r="J15" s="16" t="n">
        <f aca="false">D15-I15</f>
        <v>140.21555</v>
      </c>
      <c r="K15" s="17" t="n">
        <f aca="false">IFERROR(J15/D15,0)</f>
        <v>0.389487638888889</v>
      </c>
      <c r="L15" s="16" t="n">
        <f aca="false">IFERROR(D15/C15,0)</f>
        <v>65.4545454545455</v>
      </c>
    </row>
    <row r="16" customFormat="false" ht="15" hidden="false" customHeight="false" outlineLevel="0" collapsed="false">
      <c r="A16" s="18" t="s">
        <v>53</v>
      </c>
      <c r="B16" s="18" t="s">
        <v>51</v>
      </c>
      <c r="C16" s="8" t="n">
        <v>6.5</v>
      </c>
      <c r="D16" s="15" t="n">
        <v>420</v>
      </c>
      <c r="E16" s="12" t="n">
        <f aca="false">(C16+Assumptions!$B$10)*Assumptions!$B$6</f>
        <v>186.3</v>
      </c>
      <c r="F16" s="12" t="n">
        <f aca="false">(C16+Assumptions!$B$10)*Assumptions!$B$23</f>
        <v>211.72995</v>
      </c>
      <c r="G16" s="12" t="n">
        <f aca="false">Assumptions!$B$24</f>
        <v>28</v>
      </c>
      <c r="H16" s="12" t="n">
        <f aca="false">D16*Assumptions!$B$18+Assumptions!$B$19</f>
        <v>12.48</v>
      </c>
      <c r="I16" s="12" t="n">
        <f aca="false">F16+G16+H16</f>
        <v>252.20995</v>
      </c>
      <c r="J16" s="12" t="n">
        <f aca="false">D16-I16</f>
        <v>167.79005</v>
      </c>
      <c r="K16" s="9" t="n">
        <f aca="false">IFERROR(J16/D16,0)</f>
        <v>0.399500119047619</v>
      </c>
      <c r="L16" s="12" t="n">
        <f aca="false">IFERROR(D16/C16,0)</f>
        <v>64.6153846153846</v>
      </c>
    </row>
    <row r="17" customFormat="false" ht="15" hidden="false" customHeight="false" outlineLevel="0" collapsed="false">
      <c r="A17" s="14" t="s">
        <v>54</v>
      </c>
      <c r="B17" s="14" t="s">
        <v>48</v>
      </c>
      <c r="C17" s="8" t="n">
        <v>4</v>
      </c>
      <c r="D17" s="15" t="n">
        <v>260</v>
      </c>
      <c r="E17" s="16" t="n">
        <f aca="false">(C17+Assumptions!$B$10)*Assumptions!$B$6</f>
        <v>118.8</v>
      </c>
      <c r="F17" s="16" t="n">
        <f aca="false">(C17+Assumptions!$B$10)*Assumptions!$B$23</f>
        <v>135.0162</v>
      </c>
      <c r="G17" s="16" t="n">
        <f aca="false">Assumptions!$B$24</f>
        <v>28</v>
      </c>
      <c r="H17" s="16" t="n">
        <f aca="false">D17*Assumptions!$B$18+Assumptions!$B$19</f>
        <v>7.84</v>
      </c>
      <c r="I17" s="16" t="n">
        <f aca="false">F17+G17+H17</f>
        <v>170.8562</v>
      </c>
      <c r="J17" s="16" t="n">
        <f aca="false">D17-I17</f>
        <v>89.1438</v>
      </c>
      <c r="K17" s="17" t="n">
        <f aca="false">IFERROR(J17/D17,0)</f>
        <v>0.342860769230769</v>
      </c>
      <c r="L17" s="16" t="n">
        <f aca="false">IFERROR(D17/C17,0)</f>
        <v>65</v>
      </c>
    </row>
    <row r="18" customFormat="false" ht="15" hidden="false" customHeight="false" outlineLevel="0" collapsed="false">
      <c r="A18" s="18" t="s">
        <v>54</v>
      </c>
      <c r="B18" s="18" t="s">
        <v>49</v>
      </c>
      <c r="C18" s="8" t="n">
        <v>5</v>
      </c>
      <c r="D18" s="15" t="n">
        <v>325</v>
      </c>
      <c r="E18" s="12" t="n">
        <f aca="false">(C18+Assumptions!$B$10)*Assumptions!$B$6</f>
        <v>145.8</v>
      </c>
      <c r="F18" s="12" t="n">
        <f aca="false">(C18+Assumptions!$B$10)*Assumptions!$B$23</f>
        <v>165.7017</v>
      </c>
      <c r="G18" s="12" t="n">
        <f aca="false">Assumptions!$B$24</f>
        <v>28</v>
      </c>
      <c r="H18" s="12" t="n">
        <f aca="false">D18*Assumptions!$B$18+Assumptions!$B$19</f>
        <v>9.725</v>
      </c>
      <c r="I18" s="12" t="n">
        <f aca="false">F18+G18+H18</f>
        <v>203.4267</v>
      </c>
      <c r="J18" s="12" t="n">
        <f aca="false">D18-I18</f>
        <v>121.5733</v>
      </c>
      <c r="K18" s="9" t="n">
        <f aca="false">IFERROR(J18/D18,0)</f>
        <v>0.374071692307692</v>
      </c>
      <c r="L18" s="12" t="n">
        <f aca="false">IFERROR(D18/C18,0)</f>
        <v>65</v>
      </c>
    </row>
    <row r="19" customFormat="false" ht="15" hidden="false" customHeight="false" outlineLevel="0" collapsed="false">
      <c r="A19" s="14" t="s">
        <v>54</v>
      </c>
      <c r="B19" s="14" t="s">
        <v>50</v>
      </c>
      <c r="C19" s="8" t="n">
        <v>6</v>
      </c>
      <c r="D19" s="15" t="n">
        <v>390</v>
      </c>
      <c r="E19" s="16" t="n">
        <f aca="false">(C19+Assumptions!$B$10)*Assumptions!$B$6</f>
        <v>172.8</v>
      </c>
      <c r="F19" s="16" t="n">
        <f aca="false">(C19+Assumptions!$B$10)*Assumptions!$B$23</f>
        <v>196.3872</v>
      </c>
      <c r="G19" s="16" t="n">
        <f aca="false">Assumptions!$B$24</f>
        <v>28</v>
      </c>
      <c r="H19" s="16" t="n">
        <f aca="false">D19*Assumptions!$B$18+Assumptions!$B$19</f>
        <v>11.61</v>
      </c>
      <c r="I19" s="16" t="n">
        <f aca="false">F19+G19+H19</f>
        <v>235.9972</v>
      </c>
      <c r="J19" s="16" t="n">
        <f aca="false">D19-I19</f>
        <v>154.0028</v>
      </c>
      <c r="K19" s="17" t="n">
        <f aca="false">IFERROR(J19/D19,0)</f>
        <v>0.394878974358974</v>
      </c>
      <c r="L19" s="16" t="n">
        <f aca="false">IFERROR(D19/C19,0)</f>
        <v>65</v>
      </c>
    </row>
    <row r="20" customFormat="false" ht="15" hidden="false" customHeight="false" outlineLevel="0" collapsed="false">
      <c r="A20" s="18" t="s">
        <v>54</v>
      </c>
      <c r="B20" s="18" t="s">
        <v>51</v>
      </c>
      <c r="C20" s="8" t="n">
        <v>7</v>
      </c>
      <c r="D20" s="15" t="n">
        <v>455</v>
      </c>
      <c r="E20" s="12" t="n">
        <f aca="false">(C20+Assumptions!$B$10)*Assumptions!$B$6</f>
        <v>199.8</v>
      </c>
      <c r="F20" s="12" t="n">
        <f aca="false">(C20+Assumptions!$B$10)*Assumptions!$B$23</f>
        <v>227.0727</v>
      </c>
      <c r="G20" s="12" t="n">
        <f aca="false">Assumptions!$B$24</f>
        <v>28</v>
      </c>
      <c r="H20" s="12" t="n">
        <f aca="false">D20*Assumptions!$B$18+Assumptions!$B$19</f>
        <v>13.495</v>
      </c>
      <c r="I20" s="12" t="n">
        <f aca="false">F20+G20+H20</f>
        <v>268.5677</v>
      </c>
      <c r="J20" s="12" t="n">
        <f aca="false">D20-I20</f>
        <v>186.4323</v>
      </c>
      <c r="K20" s="9" t="n">
        <f aca="false">IFERROR(J20/D20,0)</f>
        <v>0.409741318681319</v>
      </c>
      <c r="L20" s="12" t="n">
        <f aca="false">IFERROR(D20/C20,0)</f>
        <v>65</v>
      </c>
    </row>
    <row r="21" customFormat="false" ht="15" hidden="false" customHeight="false" outlineLevel="0" collapsed="false">
      <c r="A21" s="14" t="s">
        <v>55</v>
      </c>
      <c r="B21" s="14" t="s">
        <v>48</v>
      </c>
      <c r="C21" s="8" t="n">
        <v>1.5</v>
      </c>
      <c r="D21" s="15" t="n">
        <v>125</v>
      </c>
      <c r="E21" s="16" t="n">
        <f aca="false">(C21+Assumptions!$B$10)*Assumptions!$B$6</f>
        <v>51.3</v>
      </c>
      <c r="F21" s="16" t="n">
        <f aca="false">(C21+Assumptions!$B$10)*Assumptions!$B$23</f>
        <v>58.30245</v>
      </c>
      <c r="G21" s="16" t="n">
        <f aca="false">Assumptions!$B$24</f>
        <v>28</v>
      </c>
      <c r="H21" s="16" t="n">
        <f aca="false">D21*Assumptions!$B$18+Assumptions!$B$19</f>
        <v>3.925</v>
      </c>
      <c r="I21" s="16" t="n">
        <f aca="false">F21+G21+H21</f>
        <v>90.22745</v>
      </c>
      <c r="J21" s="16" t="n">
        <f aca="false">D21-I21</f>
        <v>34.77255</v>
      </c>
      <c r="K21" s="17" t="n">
        <f aca="false">IFERROR(J21/D21,0)</f>
        <v>0.2781804</v>
      </c>
      <c r="L21" s="16" t="n">
        <f aca="false">IFERROR(D21/C21,0)</f>
        <v>83.3333333333333</v>
      </c>
    </row>
    <row r="22" customFormat="false" ht="15" hidden="false" customHeight="false" outlineLevel="0" collapsed="false">
      <c r="A22" s="18" t="s">
        <v>55</v>
      </c>
      <c r="B22" s="18" t="s">
        <v>49</v>
      </c>
      <c r="C22" s="8" t="n">
        <v>2</v>
      </c>
      <c r="D22" s="15" t="n">
        <v>150</v>
      </c>
      <c r="E22" s="12" t="n">
        <f aca="false">(C22+Assumptions!$B$10)*Assumptions!$B$6</f>
        <v>64.8</v>
      </c>
      <c r="F22" s="12" t="n">
        <f aca="false">(C22+Assumptions!$B$10)*Assumptions!$B$23</f>
        <v>73.6452</v>
      </c>
      <c r="G22" s="12" t="n">
        <f aca="false">Assumptions!$B$24</f>
        <v>28</v>
      </c>
      <c r="H22" s="12" t="n">
        <f aca="false">D22*Assumptions!$B$18+Assumptions!$B$19</f>
        <v>4.65</v>
      </c>
      <c r="I22" s="12" t="n">
        <f aca="false">F22+G22+H22</f>
        <v>106.2952</v>
      </c>
      <c r="J22" s="12" t="n">
        <f aca="false">D22-I22</f>
        <v>43.7048</v>
      </c>
      <c r="K22" s="9" t="n">
        <f aca="false">IFERROR(J22/D22,0)</f>
        <v>0.291365333333333</v>
      </c>
      <c r="L22" s="12" t="n">
        <f aca="false">IFERROR(D22/C22,0)</f>
        <v>75</v>
      </c>
    </row>
    <row r="23" customFormat="false" ht="15" hidden="false" customHeight="false" outlineLevel="0" collapsed="false">
      <c r="A23" s="14" t="s">
        <v>55</v>
      </c>
      <c r="B23" s="14" t="s">
        <v>56</v>
      </c>
      <c r="C23" s="8" t="n">
        <v>2.5</v>
      </c>
      <c r="D23" s="15" t="n">
        <v>180</v>
      </c>
      <c r="E23" s="16" t="n">
        <f aca="false">(C23+Assumptions!$B$10)*Assumptions!$B$6</f>
        <v>78.3</v>
      </c>
      <c r="F23" s="16" t="n">
        <f aca="false">(C23+Assumptions!$B$10)*Assumptions!$B$23</f>
        <v>88.98795</v>
      </c>
      <c r="G23" s="16" t="n">
        <f aca="false">Assumptions!$B$24</f>
        <v>28</v>
      </c>
      <c r="H23" s="16" t="n">
        <f aca="false">D23*Assumptions!$B$18+Assumptions!$B$19</f>
        <v>5.52</v>
      </c>
      <c r="I23" s="16" t="n">
        <f aca="false">F23+G23+H23</f>
        <v>122.50795</v>
      </c>
      <c r="J23" s="16" t="n">
        <f aca="false">D23-I23</f>
        <v>57.49205</v>
      </c>
      <c r="K23" s="17" t="n">
        <f aca="false">IFERROR(J23/D23,0)</f>
        <v>0.319400277777778</v>
      </c>
      <c r="L23" s="16" t="n">
        <f aca="false">IFERROR(D23/C23,0)</f>
        <v>72</v>
      </c>
    </row>
    <row r="24" customFormat="false" ht="15" hidden="false" customHeight="false" outlineLevel="0" collapsed="false">
      <c r="A24" s="3" t="s">
        <v>57</v>
      </c>
      <c r="B24" s="4"/>
      <c r="C24" s="19" t="n">
        <f aca="false">SUM(C5:C23)</f>
        <v>73</v>
      </c>
      <c r="D24" s="20" t="n">
        <f aca="false">SUM(D5:D23)</f>
        <v>4805</v>
      </c>
      <c r="E24" s="4"/>
      <c r="F24" s="4"/>
      <c r="G24" s="4"/>
      <c r="H24" s="4"/>
      <c r="I24" s="4"/>
      <c r="J24" s="20" t="n">
        <f aca="false">SUM(J5:J23)</f>
        <v>1654.7037</v>
      </c>
      <c r="K24" s="21" t="n">
        <f aca="false">IFERROR(J24/D24,0)</f>
        <v>0.34437121748179</v>
      </c>
      <c r="L24" s="4"/>
    </row>
    <row r="26" customFormat="false" ht="15" hidden="false" customHeight="false" outlineLevel="0" collapsed="false">
      <c r="A26" s="2" t="s">
        <v>58</v>
      </c>
    </row>
    <row r="27" customFormat="false" ht="15" hidden="false" customHeight="false" outlineLevel="0" collapsed="false">
      <c r="A27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22" t="s">
        <v>62</v>
      </c>
      <c r="B4" s="22" t="s">
        <v>63</v>
      </c>
      <c r="C4" s="22" t="s">
        <v>64</v>
      </c>
      <c r="D4" s="22" t="s">
        <v>40</v>
      </c>
      <c r="E4" s="22" t="s">
        <v>44</v>
      </c>
      <c r="F4" s="22" t="s">
        <v>45</v>
      </c>
    </row>
    <row r="5" customFormat="false" ht="15" hidden="false" customHeight="false" outlineLevel="0" collapsed="false">
      <c r="A5" s="18" t="s">
        <v>65</v>
      </c>
      <c r="B5" s="8" t="n">
        <v>0.6</v>
      </c>
      <c r="C5" s="15" t="n">
        <v>40</v>
      </c>
      <c r="D5" s="12" t="n">
        <f aca="false">B5*Assumptions!$B$23</f>
        <v>18.4113</v>
      </c>
      <c r="E5" s="12" t="n">
        <f aca="false">C5-D5</f>
        <v>21.5887</v>
      </c>
      <c r="F5" s="9" t="n">
        <f aca="false">IFERROR(E5/C5,0)</f>
        <v>0.5397175</v>
      </c>
    </row>
    <row r="6" customFormat="false" ht="15" hidden="false" customHeight="false" outlineLevel="0" collapsed="false">
      <c r="A6" s="18" t="s">
        <v>66</v>
      </c>
      <c r="B6" s="8" t="n">
        <v>0.55</v>
      </c>
      <c r="C6" s="15" t="n">
        <v>35</v>
      </c>
      <c r="D6" s="12" t="n">
        <f aca="false">B6*Assumptions!$B$23</f>
        <v>16.877025</v>
      </c>
      <c r="E6" s="12" t="n">
        <f aca="false">C6-D6</f>
        <v>18.122975</v>
      </c>
      <c r="F6" s="9" t="n">
        <f aca="false">IFERROR(E6/C6,0)</f>
        <v>0.517799285714286</v>
      </c>
    </row>
    <row r="7" customFormat="false" ht="15" hidden="false" customHeight="false" outlineLevel="0" collapsed="false">
      <c r="A7" s="18" t="s">
        <v>67</v>
      </c>
      <c r="B7" s="8" t="n">
        <v>0.5</v>
      </c>
      <c r="C7" s="15" t="n">
        <v>35</v>
      </c>
      <c r="D7" s="12" t="n">
        <f aca="false">B7*Assumptions!$B$23</f>
        <v>15.34275</v>
      </c>
      <c r="E7" s="12" t="n">
        <f aca="false">C7-D7</f>
        <v>19.65725</v>
      </c>
      <c r="F7" s="9" t="n">
        <f aca="false">IFERROR(E7/C7,0)</f>
        <v>0.561635714285714</v>
      </c>
    </row>
    <row r="8" customFormat="false" ht="15" hidden="false" customHeight="false" outlineLevel="0" collapsed="false">
      <c r="A8" s="18" t="s">
        <v>68</v>
      </c>
      <c r="B8" s="8" t="n">
        <v>0.65</v>
      </c>
      <c r="C8" s="15" t="n">
        <v>40</v>
      </c>
      <c r="D8" s="12" t="n">
        <f aca="false">B8*Assumptions!$B$23</f>
        <v>19.945575</v>
      </c>
      <c r="E8" s="12" t="n">
        <f aca="false">C8-D8</f>
        <v>20.054425</v>
      </c>
      <c r="F8" s="9" t="n">
        <f aca="false">IFERROR(E8/C8,0)</f>
        <v>0.501360625</v>
      </c>
    </row>
    <row r="9" customFormat="false" ht="15" hidden="false" customHeight="false" outlineLevel="0" collapsed="false">
      <c r="A9" s="18" t="s">
        <v>69</v>
      </c>
      <c r="B9" s="8" t="n">
        <v>0.75</v>
      </c>
      <c r="C9" s="15" t="n">
        <v>50</v>
      </c>
      <c r="D9" s="12" t="n">
        <f aca="false">B9*Assumptions!$B$23</f>
        <v>23.014125</v>
      </c>
      <c r="E9" s="12" t="n">
        <f aca="false">C9-D9</f>
        <v>26.985875</v>
      </c>
      <c r="F9" s="9" t="n">
        <f aca="false">IFERROR(E9/C9,0)</f>
        <v>0.5397175</v>
      </c>
    </row>
    <row r="10" customFormat="false" ht="15" hidden="false" customHeight="false" outlineLevel="0" collapsed="false">
      <c r="A10" s="18" t="s">
        <v>70</v>
      </c>
      <c r="B10" s="8" t="n">
        <v>0.35</v>
      </c>
      <c r="C10" s="15" t="n">
        <v>25</v>
      </c>
      <c r="D10" s="12" t="n">
        <f aca="false">B10*Assumptions!$B$23</f>
        <v>10.739925</v>
      </c>
      <c r="E10" s="12" t="n">
        <f aca="false">C10-D10</f>
        <v>14.260075</v>
      </c>
      <c r="F10" s="9" t="n">
        <f aca="false">IFERROR(E10/C10,0)</f>
        <v>0.570403</v>
      </c>
    </row>
    <row r="11" customFormat="false" ht="15" hidden="false" customHeight="false" outlineLevel="0" collapsed="false">
      <c r="A11" s="18" t="s">
        <v>71</v>
      </c>
      <c r="B11" s="8" t="n">
        <v>0.5</v>
      </c>
      <c r="C11" s="15" t="n">
        <v>35</v>
      </c>
      <c r="D11" s="12" t="n">
        <f aca="false">B11*Assumptions!$B$23</f>
        <v>15.34275</v>
      </c>
      <c r="E11" s="12" t="n">
        <f aca="false">C11-D11</f>
        <v>19.65725</v>
      </c>
      <c r="F11" s="9" t="n">
        <f aca="false">IFERROR(E11/C11,0)</f>
        <v>0.561635714285714</v>
      </c>
    </row>
    <row r="12" customFormat="false" ht="15" hidden="false" customHeight="false" outlineLevel="0" collapsed="false">
      <c r="A12" s="18" t="s">
        <v>72</v>
      </c>
      <c r="B12" s="8" t="n">
        <v>0.35</v>
      </c>
      <c r="C12" s="15" t="n">
        <v>25</v>
      </c>
      <c r="D12" s="12" t="n">
        <f aca="false">B12*Assumptions!$B$23</f>
        <v>10.739925</v>
      </c>
      <c r="E12" s="12" t="n">
        <f aca="false">C12-D12</f>
        <v>14.260075</v>
      </c>
      <c r="F12" s="9" t="n">
        <f aca="false">IFERROR(E12/C12,0)</f>
        <v>0.570403</v>
      </c>
    </row>
    <row r="13" customFormat="false" ht="15" hidden="false" customHeight="false" outlineLevel="0" collapsed="false">
      <c r="A13" s="18" t="s">
        <v>73</v>
      </c>
      <c r="B13" s="8" t="n">
        <v>1</v>
      </c>
      <c r="C13" s="15" t="n">
        <v>65</v>
      </c>
      <c r="D13" s="12" t="n">
        <f aca="false">B13*Assumptions!$B$23</f>
        <v>30.6855</v>
      </c>
      <c r="E13" s="12" t="n">
        <f aca="false">C13-D13</f>
        <v>34.3145</v>
      </c>
      <c r="F13" s="9" t="n">
        <f aca="false">IFERROR(E13/C13,0)</f>
        <v>0.527915384615385</v>
      </c>
    </row>
    <row r="15" customFormat="false" ht="15" hidden="false" customHeight="false" outlineLevel="0" collapsed="false">
      <c r="A15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A4" s="5" t="s">
        <v>77</v>
      </c>
      <c r="B4" s="23" t="n">
        <v>32</v>
      </c>
    </row>
    <row r="5" customFormat="false" ht="15" hidden="false" customHeight="false" outlineLevel="0" collapsed="false">
      <c r="A5" s="5" t="s">
        <v>78</v>
      </c>
      <c r="B5" s="24" t="n">
        <f aca="false">B4/3.8*Assumptions!$B$10</f>
        <v>3.36842105263158</v>
      </c>
    </row>
    <row r="6" customFormat="false" ht="15" hidden="false" customHeight="false" outlineLevel="0" collapsed="false">
      <c r="A6" s="10" t="s">
        <v>79</v>
      </c>
      <c r="B6" s="25" t="n">
        <f aca="false">B4+B5</f>
        <v>35.3684210526316</v>
      </c>
    </row>
    <row r="7" customFormat="false" ht="15" hidden="false" customHeight="false" outlineLevel="0" collapsed="false">
      <c r="A7" s="10" t="s">
        <v>80</v>
      </c>
      <c r="B7" s="26" t="n">
        <f aca="false">B6*Assumptions!$B$6</f>
        <v>954.947368421053</v>
      </c>
    </row>
    <row r="8" customFormat="false" ht="15" hidden="false" customHeight="false" outlineLevel="0" collapsed="false">
      <c r="A8" s="5" t="s">
        <v>81</v>
      </c>
      <c r="B8" s="27" t="n">
        <f aca="false">B7*52/12</f>
        <v>4138.10526315789</v>
      </c>
    </row>
    <row r="9" customFormat="false" ht="15" hidden="false" customHeight="false" outlineLevel="0" collapsed="false">
      <c r="A9" s="5" t="s">
        <v>82</v>
      </c>
      <c r="B9" s="27" t="n">
        <f aca="false">B7*52</f>
        <v>49657.2631578947</v>
      </c>
    </row>
    <row r="10" customFormat="false" ht="15" hidden="false" customHeight="false" outlineLevel="0" collapsed="false">
      <c r="A10" s="5" t="s">
        <v>83</v>
      </c>
      <c r="B10" s="27" t="n">
        <f aca="false">B6*52*Assumptions!$B$23</f>
        <v>56435.4795789474</v>
      </c>
    </row>
    <row r="12" customFormat="false" ht="15" hidden="false" customHeight="false" outlineLevel="0" collapsed="false">
      <c r="A12" s="3" t="s">
        <v>84</v>
      </c>
      <c r="B12" s="4"/>
    </row>
    <row r="13" customFormat="false" ht="15" hidden="false" customHeight="false" outlineLevel="0" collapsed="false">
      <c r="A13" s="5" t="s">
        <v>85</v>
      </c>
    </row>
    <row r="14" customFormat="false" ht="15" hidden="false" customHeight="false" outlineLevel="0" collapsed="false">
      <c r="A14" s="5" t="s">
        <v>86</v>
      </c>
    </row>
    <row r="15" customFormat="false" ht="15" hidden="false" customHeight="false" outlineLevel="0" collapsed="false">
      <c r="A15" s="5" t="s">
        <v>87</v>
      </c>
    </row>
    <row r="16" customFormat="false" ht="15" hidden="false" customHeight="false" outlineLevel="0" collapsed="false">
      <c r="A16" s="5" t="s">
        <v>88</v>
      </c>
    </row>
    <row r="17" customFormat="false" ht="15" hidden="false" customHeight="false" outlineLevel="0" collapsed="false">
      <c r="A17" s="5" t="s">
        <v>89</v>
      </c>
    </row>
    <row r="18" customFormat="false" ht="15" hidden="false" customHeight="false" outlineLevel="0" collapsed="false">
      <c r="A18" s="5" t="s">
        <v>90</v>
      </c>
    </row>
    <row r="19" customFormat="false" ht="15" hidden="false" customHeight="false" outlineLevel="0" collapsed="false">
      <c r="A19" s="5" t="s">
        <v>91</v>
      </c>
    </row>
    <row r="21" customFormat="false" ht="15" hidden="false" customHeight="false" outlineLevel="0" collapsed="false">
      <c r="A21" s="2" t="s">
        <v>92</v>
      </c>
    </row>
    <row r="22" customFormat="false" ht="15" hidden="false" customHeight="false" outlineLevel="0" collapsed="false">
      <c r="A22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15" hidden="false" customHeight="false" outlineLevel="0" collapsed="false">
      <c r="A4" s="5" t="s">
        <v>96</v>
      </c>
      <c r="B4" s="28" t="n">
        <v>3</v>
      </c>
    </row>
    <row r="5" customFormat="false" ht="15" hidden="false" customHeight="false" outlineLevel="0" collapsed="false">
      <c r="A5" s="5" t="s">
        <v>97</v>
      </c>
      <c r="B5" s="24" t="n">
        <f aca="false">'Cleaner Pay'!B4</f>
        <v>32</v>
      </c>
    </row>
    <row r="6" customFormat="false" ht="15" hidden="false" customHeight="false" outlineLevel="0" collapsed="false">
      <c r="A6" s="5" t="s">
        <v>98</v>
      </c>
      <c r="B6" s="12" t="n">
        <f aca="false">IFERROR('Job Pricing'!D24/'Job Pricing'!C24,0)</f>
        <v>65.8219178082192</v>
      </c>
    </row>
    <row r="7" customFormat="false" ht="15" hidden="false" customHeight="false" outlineLevel="0" collapsed="false">
      <c r="A7" s="5" t="s">
        <v>99</v>
      </c>
      <c r="B7" s="9" t="n">
        <f aca="false">'Job Pricing'!K24</f>
        <v>0.34437121748179</v>
      </c>
    </row>
    <row r="9" customFormat="false" ht="15" hidden="false" customHeight="false" outlineLevel="0" collapsed="false">
      <c r="A9" s="10" t="s">
        <v>100</v>
      </c>
      <c r="B9" s="26" t="n">
        <f aca="false">B4*B5*B6</f>
        <v>6318.90410958904</v>
      </c>
    </row>
    <row r="10" customFormat="false" ht="15" hidden="false" customHeight="false" outlineLevel="0" collapsed="false">
      <c r="A10" s="5" t="s">
        <v>101</v>
      </c>
      <c r="B10" s="27" t="n">
        <f aca="false">B9*B7</f>
        <v>2176.04870136986</v>
      </c>
    </row>
    <row r="11" customFormat="false" ht="15" hidden="false" customHeight="false" outlineLevel="0" collapsed="false">
      <c r="A11" s="10" t="s">
        <v>102</v>
      </c>
      <c r="B11" s="26" t="n">
        <f aca="false">B9*52</f>
        <v>328583.01369863</v>
      </c>
    </row>
    <row r="12" customFormat="false" ht="15" hidden="false" customHeight="false" outlineLevel="0" collapsed="false">
      <c r="A12" s="10" t="s">
        <v>103</v>
      </c>
      <c r="B12" s="29" t="n">
        <f aca="false">B10*52</f>
        <v>113154.532471233</v>
      </c>
    </row>
    <row r="14" customFormat="false" ht="15" hidden="false" customHeight="false" outlineLevel="0" collapsed="false">
      <c r="A14" s="2" t="s">
        <v>104</v>
      </c>
    </row>
    <row r="15" customFormat="false" ht="15" hidden="false" customHeight="false" outlineLevel="0" collapsed="false">
      <c r="A15" s="2" t="s">
        <v>105</v>
      </c>
    </row>
    <row r="16" customFormat="false" ht="15" hidden="false" customHeight="false" outlineLevel="0" collapsed="false">
      <c r="A16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2026-08-08T19:54:45Z</dcterms:created>
  <dc:creator>openpyxl</dc:creator>
  <dc:description/>
  <dc:language>en-US</dc:language>
  <cp:lastModifiedBy/>
  <dcterms:modified xsi:type="dcterms:W3CDTF">2026-08-08T19:54:45Z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